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b953ca506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dor" sheetId="1" r:id="R0256d6f4eb4344d0"/>
    <x:sheet xmlns:r="http://schemas.openxmlformats.org/officeDocument/2006/relationships" name="Cómo usar" sheetId="2" r:id="R62aeda4efebc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.0000"/>
    <x:numFmt numFmtId="202" formatCode="#,##0.0"/>
    <x:numFmt numFmtId="203" formatCode="0.0%"/>
    <x:numFmt numFmtId="204" formatCode="dd/mm/yyyy"/>
  </x:numFmts>
  <x:fonts count="7">
    <x:font>
      <x:sz val="11"/>
      <x:name val="Carlito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312E81"/>
      <x:name val="Arial"/>
    </x:font>
    <x:font>
      <x:sz val="10"/>
      <x:color rgb="FF37415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FFF4CC"/>
      </x:patternFill>
    </x:fill>
    <x:fill>
      <x:patternFill patternType="solid">
        <x:fgColor rgb="FFF1F5F9"/>
      </x:patternFill>
    </x:fill>
    <x:fill>
      <x:patternFill patternType="solid">
        <x:fgColor rgb="FFF3F4F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 wrapText="1"/>
    </x:xf>
    <x:xf numFmtId="201" fontId="4" fillId="3" borderId="3" xfId="0" applyNumberFormat="1" applyFont="1" applyFill="1" applyBorder="1" applyAlignment="1">
      <x:alignment vertical="center" wrapText="1"/>
    </x:xf>
    <x:xf numFmtId="202" fontId="4" fillId="3" borderId="2" xfId="0" applyNumberFormat="1" applyFont="1" applyFill="1" applyBorder="1" applyAlignment="1">
      <x:alignment vertical="center" wrapText="1"/>
    </x:xf>
    <x:xf numFmtId="202" fontId="4" fillId="3" borderId="3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3" fontId="4" fillId="4" borderId="2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4" fontId="4" fillId="3" borderId="2" xfId="0" applyNumberFormat="1" applyFont="1" applyFill="1" applyBorder="1" applyAlignment="1">
      <x:alignment vertical="center" wrapText="1"/>
    </x:xf>
    <x:xf numFmtId="204" fontId="4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5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65a2ff4364f37" /><Relationship Type="http://schemas.openxmlformats.org/officeDocument/2006/relationships/theme" Target="/xl/theme/theme1.xml" Id="Ra305cf5252cb40ef" /><Relationship Type="http://schemas.openxmlformats.org/officeDocument/2006/relationships/sharedStrings" Target="/xl/sharedStrings.xml" Id="Rf14540134da04949" /><Relationship Type="http://schemas.openxmlformats.org/officeDocument/2006/relationships/worksheet" Target="/xl/worksheets/sheet1.xml" Id="R0256d6f4eb4344d0" /><Relationship Type="http://schemas.openxmlformats.org/officeDocument/2006/relationships/worksheet" Target="/xl/worksheets/sheet2.xml" Id="R62aeda4efebc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D28D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1" hidden="0" customWidth="1"/>
    <x:col min="2" max="2" width="16" hidden="0" customWidth="1"/>
    <x:col min="3" max="3" width="14" hidden="0" customWidth="1"/>
    <x:col min="4" max="4" width="19" hidden="0" customWidth="1"/>
    <x:col min="5" max="5" width="11" hidden="0" customWidth="1"/>
    <x:col min="6" max="6" width="19" hidden="0" customWidth="1"/>
    <x:col min="7" max="7" width="18" hidden="0" customWidth="1"/>
    <x:col min="8" max="8" width="17" hidden="0" customWidth="1"/>
    <x:col min="9" max="9" width="20" hidden="0" customWidth="1"/>
    <x:col min="10" max="10" width="18" hidden="0" customWidth="1"/>
    <x:col min="11" max="11" width="17" hidden="0" customWidth="1"/>
    <x:col min="12" max="12" width="19" hidden="0" customWidth="1"/>
    <x:col min="13" max="13" width="19" hidden="0" customWidth="1"/>
    <x:col min="14" max="14" width="22" hidden="0" customWidth="1"/>
    <x:col min="15" max="15" width="20" hidden="0" customWidth="1"/>
    <x:col min="16" max="16" width="20" hidden="0" customWidth="1"/>
    <x:col min="17" max="17" width="22" hidden="0" customWidth="1"/>
    <x:col min="18" max="18" width="23" hidden="0" customWidth="1"/>
    <x:col min="19" max="19" width="24" hidden="0" customWidth="1"/>
    <x:col min="20" max="20" width="16" hidden="0" customWidth="1"/>
    <x:col min="21" max="21" width="42" hidden="0" customWidth="1"/>
    <x:col min="22" max="22" width="17" hidden="0" customWidth="1"/>
  </x:cols>
  <x:sheetData>
    <x:row r="1" ht="23" customHeight="1">
      <x:c r="A1" s="1" t="str">
        <x:v>Comparador de costo total de software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3" customHeight="1">
      <x:c r="A2" s="2" t="str">
        <x:v>Precios y cuotas consultados en fuentes oficiales el 21/10/2026. Verificá ciclo, región y checkout antes de contratar.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3" customHeight="1">
      <x:c r="A3" s="2" t="str">
        <x:v>No hay escenarios ni totales inventados. Cambio, impuestos, extras, personas, consumo y revisión quedan vacíos hasta que cargues tus datos reales.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6" ht="42" customHeight="1">
      <x:c r="A6" s="14" t="str">
        <x:v>Herramienta</x:v>
      </x:c>
      <x:c r="B6" s="14" t="str">
        <x:v>Plan</x:v>
      </x:c>
      <x:c r="C6" s="14" t="str">
        <x:v>Personas cubiertas</x:v>
      </x:c>
      <x:c r="D6" s="14" t="str">
        <x:v>Precio mensual del plan</x:v>
      </x:c>
      <x:c r="E6" s="14" t="str">
        <x:v>Moneda</x:v>
      </x:c>
      <x:c r="F6" s="14" t="str">
        <x:v>Tipo de cambio a ARS</x:v>
      </x:c>
      <x:c r="G6" s="14" t="str">
        <x:v>Impuestos/tasas mensuales (moneda)</x:v>
      </x:c>
      <x:c r="H6" s="14" t="str">
        <x:v>Extras mensuales</x:v>
      </x:c>
      <x:c r="I6" s="14" t="str">
        <x:v>Unidad de consumo</x:v>
      </x:c>
      <x:c r="J6" s="14" t="str">
        <x:v>Unidades incluidas/mes</x:v>
      </x:c>
      <x:c r="K6" s="14" t="str">
        <x:v>Unidades usadas/mes</x:v>
      </x:c>
      <x:c r="L6" s="14" t="str">
        <x:v>Minutos aprobados/mes</x:v>
      </x:c>
      <x:c r="M6" s="14" t="str">
        <x:v>Minutos de revisión/mes</x:v>
      </x:c>
      <x:c r="N6" s="14" t="str">
        <x:v>Valor hora de revisión (ARS)</x:v>
      </x:c>
      <x:c r="O6" s="14" t="str">
        <x:v>Costo herramienta (ARS)</x:v>
      </x:c>
      <x:c r="P6" s="14" t="str">
        <x:v>Costo de revisión (ARS)</x:v>
      </x:c>
      <x:c r="Q6" s="14" t="str">
        <x:v>Costo total mensual (ARS)</x:v>
      </x:c>
      <x:c r="R6" s="14" t="str">
        <x:v>Costo mensual/persona (ARS)</x:v>
      </x:c>
      <x:c r="S6" s="14" t="str">
        <x:v>Costo por minuto aprobado (ARS)</x:v>
      </x:c>
      <x:c r="T6" s="14" t="str">
        <x:v>Uso de cuota (%)</x:v>
      </x:c>
      <x:c r="U6" s="14" t="str">
        <x:v>Fuente oficial del precio</x:v>
      </x:c>
      <x:c r="V6" s="14" t="str">
        <x:v>Fecha de consulta</x:v>
      </x:c>
    </x:row>
    <x:row r="7" ht="58" customHeight="1">
      <x:c r="A7" s="19" t="str">
        <x:v>Snov.io</x:v>
      </x:c>
      <x:c r="B7" s="19" t="str">
        <x:v>Starter; mensual</x:v>
      </x:c>
      <x:c r="C7" s="19"/>
      <x:c r="D7" s="21" t="n">
        <x:v>39</x:v>
      </x:c>
      <x:c r="E7" s="19" t="str">
        <x:v>USD</x:v>
      </x:c>
      <x:c r="F7" s="23"/>
      <x:c r="G7" s="21"/>
      <x:c r="H7" s="21"/>
      <x:c r="I7" s="19" t="str">
        <x:v>Créditos Finder/Verifier (5.000 recipients; 75 tokens)</x:v>
      </x:c>
      <x:c r="J7" s="25" t="n">
        <x:v>1000</x:v>
      </x:c>
      <x:c r="K7" s="25"/>
      <x:c r="L7" s="25"/>
      <x:c r="M7" s="25"/>
      <x:c r="N7" s="21"/>
      <x:c r="O7" s="27" t="str">
        <x:f>IF(COUNT(D7,F7,G7,H7)&lt;4,"",((D7+G7+H7)*F7))</x:f>
      </x:c>
      <x:c r="P7" s="27" t="str">
        <x:f>IF(OR(M7="",N7=""),"",M7/60*N7)</x:f>
      </x:c>
      <x:c r="Q7" s="27" t="str">
        <x:f>IF(OR(O7="",P7=""),"",SUM(O7:P7))</x:f>
      </x:c>
      <x:c r="R7" s="27" t="str">
        <x:f>IF(OR(Q7="",C7="",C7&lt;=0),"",Q7/C7)</x:f>
      </x:c>
      <x:c r="S7" s="27" t="str">
        <x:f>IF(OR(Q7="",L7="",L7&lt;=0),"",Q7/L7)</x:f>
      </x:c>
      <x:c r="T7" s="29" t="str">
        <x:f>IF(OR(J7="",K7="",J7&lt;=0),"",K7/J7)</x:f>
      </x:c>
      <x:c r="U7" s="19" t="str">
        <x:v>https://snov.io/pricing</x:v>
      </x:c>
      <x:c r="V7" s="31" t="str">
        <x:v>21/10/2026</x:v>
      </x:c>
    </x:row>
    <x:row r="8" ht="58" customHeight="1">
      <x:c r="A8" s="19" t="str">
        <x:v>ElevenLabs</x:v>
      </x:c>
      <x:c r="B8" s="19" t="str">
        <x:v>Starter; mensual</x:v>
      </x:c>
      <x:c r="C8" s="19"/>
      <x:c r="D8" s="21" t="n">
        <x:v>6</x:v>
      </x:c>
      <x:c r="E8" s="19" t="str">
        <x:v>USD</x:v>
      </x:c>
      <x:c r="F8" s="23"/>
      <x:c r="G8" s="21"/>
      <x:c r="H8" s="21"/>
      <x:c r="I8" s="19" t="str">
        <x:v>Créditos compartidos</x:v>
      </x:c>
      <x:c r="J8" s="25" t="n">
        <x:v>30000</x:v>
      </x:c>
      <x:c r="K8" s="25"/>
      <x:c r="L8" s="25"/>
      <x:c r="M8" s="25"/>
      <x:c r="N8" s="21"/>
      <x:c r="O8" s="27" t="str">
        <x:f>IF(COUNT(D8,F8,G8,H8)&lt;4,"",((D8+G8+H8)*F8))</x:f>
      </x:c>
      <x:c r="P8" s="27" t="str">
        <x:f>IF(OR(M8="",N8=""),"",M8/60*N8)</x:f>
      </x:c>
      <x:c r="Q8" s="27" t="str">
        <x:f>IF(OR(O8="",P8=""),"",SUM(O8:P8))</x:f>
      </x:c>
      <x:c r="R8" s="27" t="str">
        <x:f>IF(OR(Q8="",C8="",C8&lt;=0),"",Q8/C8)</x:f>
      </x:c>
      <x:c r="S8" s="27" t="str">
        <x:f>IF(OR(Q8="",L8="",L8&lt;=0),"",Q8/L8)</x:f>
      </x:c>
      <x:c r="T8" s="29" t="str">
        <x:f>IF(OR(J8="",K8="",J8&lt;=0),"",K8/J8)</x:f>
      </x:c>
      <x:c r="U8" s="19" t="str">
        <x:v>https://elevenlabs.io/pricing</x:v>
      </x:c>
      <x:c r="V8" s="31" t="str">
        <x:v>21/10/2026</x:v>
      </x:c>
    </x:row>
    <x:row r="9" ht="58" customHeight="1">
      <x:c r="A9" s="19" t="str">
        <x:v>InVideo AI</x:v>
      </x:c>
      <x:c r="B9" s="19" t="str">
        <x:v>Starter; precio por asiento, facturación anual</x:v>
      </x:c>
      <x:c r="C9" s="19"/>
      <x:c r="D9" s="21" t="n">
        <x:v>10</x:v>
      </x:c>
      <x:c r="E9" s="19" t="str">
        <x:v>USD</x:v>
      </x:c>
      <x:c r="F9" s="23"/>
      <x:c r="G9" s="21"/>
      <x:c r="H9" s="21"/>
      <x:c r="I9" s="19" t="str">
        <x:v>Créditos por asiento</x:v>
      </x:c>
      <x:c r="J9" s="25" t="n">
        <x:v>400</x:v>
      </x:c>
      <x:c r="K9" s="25"/>
      <x:c r="L9" s="25"/>
      <x:c r="M9" s="25"/>
      <x:c r="N9" s="21"/>
      <x:c r="O9" s="27" t="str">
        <x:f>IF(COUNT(D9,F9,G9,H9)&lt;4,"",((D9+G9+H9)*F9))</x:f>
      </x:c>
      <x:c r="P9" s="27" t="str">
        <x:f>IF(OR(M9="",N9=""),"",M9/60*N9)</x:f>
      </x:c>
      <x:c r="Q9" s="27" t="str">
        <x:f>IF(OR(O9="",P9=""),"",SUM(O9:P9))</x:f>
      </x:c>
      <x:c r="R9" s="27" t="str">
        <x:f>IF(OR(Q9="",C9="",C9&lt;=0),"",Q9/C9)</x:f>
      </x:c>
      <x:c r="S9" s="27" t="str">
        <x:f>IF(OR(Q9="",L9="",L9&lt;=0),"",Q9/L9)</x:f>
      </x:c>
      <x:c r="T9" s="29" t="str">
        <x:f>IF(OR(J9="",K9="",J9&lt;=0),"",K9/J9)</x:f>
      </x:c>
      <x:c r="U9" s="19" t="str">
        <x:v>https://invideo.io/pricing/</x:v>
      </x:c>
      <x:c r="V9" s="31" t="str">
        <x:v>21/10/2026</x:v>
      </x:c>
    </x:row>
    <x:row r="10" ht="58" customHeight="1">
      <x:c r="A10" s="19" t="str">
        <x:v>GuidelyPro.AI</x:v>
      </x:c>
      <x:c r="B10" s="19" t="str">
        <x:v>Beginner; más 10% de ingresos atribuidos</x:v>
      </x:c>
      <x:c r="C10" s="19"/>
      <x:c r="D10" s="21" t="n">
        <x:v>99</x:v>
      </x:c>
      <x:c r="E10" s="19" t="str">
        <x:v>USD</x:v>
      </x:c>
      <x:c r="F10" s="23"/>
      <x:c r="G10" s="21"/>
      <x:c r="H10" s="21"/>
      <x:c r="I10" s="19" t="str">
        <x:v>Ingresos atribuidos; comisión variable 10%</x:v>
      </x:c>
      <x:c r="J10" s="25"/>
      <x:c r="K10" s="25"/>
      <x:c r="L10" s="25"/>
      <x:c r="M10" s="25"/>
      <x:c r="N10" s="21"/>
      <x:c r="O10" s="27" t="str">
        <x:f>IF(COUNT(D10,F10,G10,H10)&lt;4,"",((D10+G10+H10)*F10))</x:f>
      </x:c>
      <x:c r="P10" s="27" t="str">
        <x:f>IF(OR(M10="",N10=""),"",M10/60*N10)</x:f>
      </x:c>
      <x:c r="Q10" s="27" t="str">
        <x:f>IF(OR(O10="",P10=""),"",SUM(O10:P10))</x:f>
      </x:c>
      <x:c r="R10" s="27" t="str">
        <x:f>IF(OR(Q10="",C10="",C10&lt;=0),"",Q10/C10)</x:f>
      </x:c>
      <x:c r="S10" s="27" t="str">
        <x:f>IF(OR(Q10="",L10="",L10&lt;=0),"",Q10/L10)</x:f>
      </x:c>
      <x:c r="T10" s="29" t="str">
        <x:f>IF(OR(J10="",K10="",J10&lt;=0),"",K10/J10)</x:f>
      </x:c>
      <x:c r="U10" s="19" t="str">
        <x:v>https://guidelypro.ai/pricing</x:v>
      </x:c>
      <x:c r="V10" s="31" t="str">
        <x:v>21/10/2026</x:v>
      </x:c>
    </x:row>
    <x:row r="11" ht="58" customHeight="1">
      <x:c r="A11" s="20" t="str">
        <x:v>Fenrik.chat</x:v>
      </x:c>
      <x:c r="B11" s="20" t="str">
        <x:v>AI Assistant; desde $69/mes (moneda no indicada)</x:v>
      </x:c>
      <x:c r="C11" s="20"/>
      <x:c r="D11" s="22" t="n">
        <x:v>69</x:v>
      </x:c>
      <x:c r="E11" s="20" t="str">
        <x:v>$ (moneda no indicada)</x:v>
      </x:c>
      <x:c r="F11" s="24"/>
      <x:c r="G11" s="22"/>
      <x:c r="H11" s="22"/>
      <x:c r="I11" s="20" t="str">
        <x:v>Cuota mensual no publicada en la página consultada</x:v>
      </x:c>
      <x:c r="J11" s="26"/>
      <x:c r="K11" s="26"/>
      <x:c r="L11" s="26"/>
      <x:c r="M11" s="26"/>
      <x:c r="N11" s="22"/>
      <x:c r="O11" s="28" t="str">
        <x:f>IF(COUNT(D11,F11,G11,H11)&lt;4,"",((D11+G11+H11)*F11))</x:f>
      </x:c>
      <x:c r="P11" s="28" t="str">
        <x:f>IF(OR(M11="",N11=""),"",M11/60*N11)</x:f>
      </x:c>
      <x:c r="Q11" s="28" t="str">
        <x:f>IF(OR(O11="",P11=""),"",SUM(O11:P11))</x:f>
      </x:c>
      <x:c r="R11" s="28" t="str">
        <x:f>IF(OR(Q11="",C11="",C11&lt;=0),"",Q11/C11)</x:f>
      </x:c>
      <x:c r="S11" s="28" t="str">
        <x:f>IF(OR(Q11="",L11="",L11&lt;=0),"",Q11/L11)</x:f>
      </x:c>
      <x:c r="T11" s="30" t="str">
        <x:f>IF(OR(J11="",K11="",J11&lt;=0),"",K11/J11)</x:f>
      </x:c>
      <x:c r="U11" s="20" t="str">
        <x:v>https://www.fenrik.chat/en</x:v>
      </x:c>
      <x:c r="V11" s="32" t="str">
        <x:v>21/10/2026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2" customHeight="1">
      <x:c r="A1" s="40" t="str">
        <x:v>Guía para completar el comparador</x:v>
      </x:c>
      <x:c r="B1" s="40" t="str"/>
    </x:row>
    <x:row r="2" ht="108" customHeight="1">
      <x:c r="A2" s="41" t="str">
        <x:v>1. Compará el mismo trabajo</x:v>
      </x:c>
      <x:c r="B2" s="42" t="str">
        <x:v>Usá el mismo volumen mensual, país, tarea y criterio de aceptación para cada alternativa. Ingresá personas cubiertas cuando conozcas las licencias necesarias. No compares cuotas distintas como si fueran la misma unidad.</x:v>
      </x:c>
    </x:row>
    <x:row r="3" ht="108" customHeight="1">
      <x:c r="A3" s="41" t="str">
        <x:v>2. Precios y límites precargados</x:v>
      </x:c>
      <x:c r="B3" s="42" t="str">
        <x:v>Se copiaron datos públicos de páginas oficiales consultadas el 21/10/2026. Snov Starter: US$39/mes, 1.000 créditos, 5.000 destinatarios y 75 tokens; ElevenLabs Starter: US$6/mes y 30.000 créditos compartidos; InVideo Starter: US$10 por asiento/mes, facturación anual y 400 créditos por asiento/mes; GuidelyPro Beginner: US$99/mes + 10% de ingresos atribuidos; Fenrik: desde $69/mes, moneda no especificada en la página consultada.</x:v>
      </x:c>
    </x:row>
    <x:row r="4" ht="108" customHeight="1">
      <x:c r="A4" s="41" t="str">
        <x:v>3. Verificá las condiciones</x:v>
      </x:c>
      <x:c r="B4" s="42" t="str">
        <x:v>Las páginas oficiales pueden cambiar por región, ciclo, impuestos y promoción. Revisá el checkout, renovación, cantidad de asientos, límites, excedentes y condiciones antes de contratar. Cada fila incluye fuente y fecha. No uses un enlace de afiliado como fuente única del precio.</x:v>
      </x:c>
    </x:row>
    <x:row r="5" ht="108" customHeight="1">
      <x:c r="A5" s="41" t="str">
        <x:v>4. Cargá tus costos de facturación</x:v>
      </x:c>
      <x:c r="B5" s="42" t="str">
        <x:v>Dejé tipo de cambio, impuestos/tasas y extras vacíos. Completalos con el importe efectivo de tu tarjeta, banco, checkout o factura, en la moneda de la suscripción. Si el total ya incluye un cargo, no lo cuentes dos veces. No pongas 0 cuando el dato es desconocido; usá 0 solo si confirmaste que no aplica.</x:v>
      </x:c>
    </x:row>
    <x:row r="6" ht="108" customHeight="1">
      <x:c r="A6" s="41" t="str">
        <x:v>5. Consumo real</x:v>
      </x:c>
      <x:c r="B6" s="42" t="str">
        <x:v>Las cuotas oficiales disponibles están precargadas. La cantidad usada queda vacía: obtenela del panel de uso del proveedor para el mismo período. Los créditos de distintos productos no son equivalentes. GuidelyPro cobra una parte variable ligada a ingresos atribuidos; ingresá el cargo real que muestra su reporte/factura.</x:v>
      </x:c>
    </x:row>
    <x:row r="7" ht="108" customHeight="1">
      <x:c r="A7" s="41" t="str">
        <x:v>6. Revisión y resultado</x:v>
      </x:c>
      <x:c r="B7" s="42" t="str">
        <x:v>Minutos aprobados, minutos de revisión y valor hora quedan vacíos porque dependen de tu prueba y del costo de tu equipo. Registralos con un protocolo y un caso de uso reales. No son mediciones de Nopaall.</x:v>
      </x:c>
    </x:row>
    <x:row r="8" ht="108" customHeight="1">
      <x:c r="A8" s="41" t="str">
        <x:v>7. Leé los resultados</x:v>
      </x:c>
      <x:c r="B8" s="42" t="str">
        <x:v>Las celdas grises calculan costos cuando están completos los datos requeridos. Si faltan datos, quedan vacías: no significa costo cero. El porcentaje de cuota solo aparece cuando ingresás unidades incluidas y usadas.</x:v>
      </x:c>
    </x:row>
    <x:row r="9" ht="108" customHeight="1">
      <x:c r="A9" s="41" t="str">
        <x:v>Fórmula</x:v>
      </x:c>
      <x:c r="B9" s="42" t="str">
        <x:v>Costo herramienta ARS = (precio + impuestos/tasas + extras, en la moneda facturada) × tipo de cambio real ingresado. Costo de revisión = minutos de revisión ÷ 60 × valor hora. Costo total = herramienta + revisión.</x:v>
      </x:c>
    </x:row>
    <x:row r="10" ht="108" customHeight="1">
      <x:c r="A10" s="41" t="str">
        <x:v>Alcance y límites</x:v>
      </x:c>
      <x:c r="B10" s="42" t="str">
        <x:v>La planilla no fija tu tratamiento tributario ni consulta tipos de cambio en vivo. Tampoco evalúa calidad, privacidad, derechos de uso, seguridad, integraciones ni cumplimiento normativo. Confirmá esos puntos por separado.</x:v>
      </x:c>
    </x:row>
    <x:row r="11" ht="108" customHeight="1">
      <x:c r="A11" s="41" t="str">
        <x:v>Fuentes</x:v>
      </x:c>
      <x:c r="B11" s="42" t="str">
        <x:v>Snov.io: https://snov.io/pricing · ElevenLabs: https://elevenlabs.io/pricing · InVideo: https://invideo.io/pricing/ · GuidelyPro: https://guidelypro.ai/pricing · Fenrik (precio general): https://www.fenrik.chat/en · Fenrik (región/precios): https://www.fenrik.chat/en/pricing. Consulta: 21/10/2026.</x:v>
      </x:c>
    </x:row>
    <x:row r="12" ht="108" customHeight="1">
      <x:c r="A12" s="43"/>
      <x:c r="B12" s="44"/>
    </x:row>
  </x:sheetData>
  <x:pageMargins left="0.7" right="0.7" top="0.75" bottom="0.75" header="0.3" footer="0.3"/>
</x:worksheet>
</file>